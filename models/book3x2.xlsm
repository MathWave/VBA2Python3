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egormatveev/PycharmProjects/VBA2Python/models/"/>
    </mc:Choice>
  </mc:AlternateContent>
  <xr:revisionPtr revIDLastSave="0" documentId="13_ncr:1_{568A31A5-A619-BC46-BA85-110EAB106AF9}" xr6:coauthVersionLast="45" xr6:coauthVersionMax="45" xr10:uidLastSave="{00000000-0000-0000-0000-000000000000}"/>
  <bookViews>
    <workbookView xWindow="10400" yWindow="8040" windowWidth="33600" windowHeight="19180" xr2:uid="{A27DCCFD-ADA9-6B44-B347-19786E009D30}"/>
  </bookViews>
  <sheets>
    <sheet name="Лист1" sheetId="1" r:id="rId1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1" l="1"/>
  <c r="L3" i="1"/>
  <c r="M3" i="1"/>
  <c r="O4" i="1"/>
  <c r="O3" i="1"/>
  <c r="N3" i="1"/>
  <c r="N4" i="1"/>
  <c r="M4" i="1"/>
  <c r="K3" i="1"/>
  <c r="L4" i="1"/>
  <c r="P3" i="1"/>
  <c r="K4" i="1"/>
</calcChain>
</file>

<file path=xl/sharedStrings.xml><?xml version="1.0" encoding="utf-8"?>
<sst xmlns="http://schemas.openxmlformats.org/spreadsheetml/2006/main" count="7" uniqueCount="7">
  <si>
    <t>OLD</t>
  </si>
  <si>
    <t>NEW</t>
  </si>
  <si>
    <t>ADD</t>
  </si>
  <si>
    <t>Operation</t>
  </si>
  <si>
    <t>Price</t>
  </si>
  <si>
    <t>Volume</t>
  </si>
  <si>
    <t>Buy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</si>
</sst>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2" xfId="0" applyFill="1" applyBorder="1"/>
    <xf numFmtId="0" fontId="0" fillId="2" borderId="1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1" xfId="0" applyFill="1" applyBorder="1"/>
    <xf numFmtId="0" fontId="0" fillId="2" borderId="6" xfId="0" applyFill="1" applyBorder="1"/>
    <xf numFmtId="0" fontId="0" fillId="2" borderId="4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" xfId="0" applyBorder="1"/>
    <xf numFmtId="0" fontId="0" fillId="0" borderId="15" xfId="0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1B7C5-3431-0646-B9CF-62D40A5F6CBF}">
  <sheetPr codeName="Лист1"/>
  <dimension ref="B1:P8"/>
  <sheetViews>
    <sheetView tabSelected="1" zoomScale="136" workbookViewId="0">
      <selection activeCell="D4" sqref="D4"/>
    </sheetView>
  </sheetViews>
  <sheetFormatPr baseColWidth="10" defaultRowHeight="16" x14ac:dyDescent="0.2"/>
  <sheetData>
    <row r="1" spans="2:16" ht="17" thickBot="1" x14ac:dyDescent="0.25"/>
    <row r="2" spans="2:16" ht="17" thickBot="1" x14ac:dyDescent="0.25">
      <c r="B2" s="11" t="s">
        <v>0</v>
      </c>
      <c r="C2" s="14">
        <v>3</v>
      </c>
      <c r="D2" s="15">
        <v>2</v>
      </c>
      <c r="E2" s="16">
        <v>1</v>
      </c>
      <c r="F2" s="17">
        <v>1</v>
      </c>
      <c r="G2" s="18">
        <v>2</v>
      </c>
      <c r="H2" s="19">
        <v>3</v>
      </c>
      <c r="J2" s="11" t="s">
        <v>1</v>
      </c>
      <c r="K2" s="14">
        <v>3</v>
      </c>
      <c r="L2" s="15">
        <v>2</v>
      </c>
      <c r="M2" s="16">
        <v>1</v>
      </c>
      <c r="N2" s="17">
        <v>1</v>
      </c>
      <c r="O2" s="18">
        <v>2</v>
      </c>
      <c r="P2" s="19">
        <v>3</v>
      </c>
    </row>
    <row r="3" spans="2:16" x14ac:dyDescent="0.2">
      <c r="B3" s="12">
        <v>102</v>
      </c>
      <c r="C3" s="10">
        <v>0</v>
      </c>
      <c r="D3" s="1">
        <v>0</v>
      </c>
      <c r="E3" s="2">
        <v>0</v>
      </c>
      <c r="F3" s="3">
        <v>3</v>
      </c>
      <c r="G3" s="4">
        <v>0</v>
      </c>
      <c r="H3" s="20">
        <v>9</v>
      </c>
      <c r="J3" s="12">
        <v>102</v>
      </c>
      <c r="K3" s="10">
        <f>NextBuy03(C3, D3, E3, F3, G3, H3, C4, D4, E4, F4, G4, H4, D8, E8, F8)</f>
        <v>0</v>
      </c>
      <c r="L3" s="1">
        <f>NextBuy02(C3, D3, E3, F3, G3, H3, C4, D4, E4, F4, G4, H4, D8, E8, F8)</f>
        <v>0</v>
      </c>
      <c r="M3" s="2">
        <f>NextBuy01(C3, D3, E3, F3, G3, H3, C4, D4, E4, F4, G4, H4, D8, E8, F8)</f>
        <v>1</v>
      </c>
      <c r="N3" s="3">
        <f>NextSell01(C3, D3, E3, F3, G3, H3, C4, D4, E4, F4, G4, H4, D8, E8, F8)</f>
        <v>8</v>
      </c>
      <c r="O3" s="4">
        <f>NextSell02(C3, D3, E3, F3, G3, H3, C4, D4, E4, F4, G4, H4, D8, E8, F8)</f>
        <v>0</v>
      </c>
      <c r="P3" s="20">
        <f>NextSell03(C3, D3, E3, F3, G3, H3, C4, D4, E4, F4, G4, H4, D8, E8, F8)</f>
        <v>0</v>
      </c>
    </row>
    <row r="4" spans="2:16" ht="17" thickBot="1" x14ac:dyDescent="0.25">
      <c r="B4" s="13">
        <v>101</v>
      </c>
      <c r="C4" s="9">
        <v>0</v>
      </c>
      <c r="D4" s="5">
        <v>0</v>
      </c>
      <c r="E4" s="6">
        <v>3</v>
      </c>
      <c r="F4" s="7">
        <v>1</v>
      </c>
      <c r="G4" s="8">
        <v>0</v>
      </c>
      <c r="H4" s="21">
        <v>0</v>
      </c>
      <c r="J4" s="13">
        <v>101</v>
      </c>
      <c r="K4" s="9">
        <f>NextBuy13(C3, D3, E3, F3, G3, H3, C4, D4, E4, F4, G4, H4, D8, E8, F8)</f>
        <v>0</v>
      </c>
      <c r="L4" s="5">
        <f>NextBuy12(C3, D3, E3, F3, G3, H3, C4, D4, E4, F4, G4, H4, D8, E8, F8)</f>
        <v>0</v>
      </c>
      <c r="M4" s="6">
        <f>NextBuy11(C3, D3, E3, F3, G3, H3, C4, D4, E4, F4, G4, H4, D8, E8, F8)</f>
        <v>3</v>
      </c>
      <c r="N4" s="7">
        <f>NextSell11(C3, D3, E3, F3, G3, H3, C4, D4, E4, F4, G4, H4, D8, E8, F8)</f>
        <v>0</v>
      </c>
      <c r="O4" s="8">
        <f>NextSell12(C3, D3, E3, F3, G3, H3, C4, D4, E4, F4, G4, H4, D8, E8, F8)</f>
        <v>0</v>
      </c>
      <c r="P4" s="21">
        <f>NextSell13(C3, D3, E3, F3, G3, H3, C4, D4, E4, F4, G4, H4, D8, E8, F8)</f>
        <v>0</v>
      </c>
    </row>
    <row r="6" spans="2:16" ht="17" thickBot="1" x14ac:dyDescent="0.25"/>
    <row r="7" spans="2:16" x14ac:dyDescent="0.2">
      <c r="C7" s="28" t="s">
        <v>2</v>
      </c>
      <c r="D7" s="22" t="s">
        <v>3</v>
      </c>
      <c r="E7" s="23" t="s">
        <v>4</v>
      </c>
      <c r="F7" s="24" t="s">
        <v>5</v>
      </c>
    </row>
    <row r="8" spans="2:16" ht="17" thickBot="1" x14ac:dyDescent="0.25">
      <c r="C8" s="29"/>
      <c r="D8" s="25" t="s">
        <v>6</v>
      </c>
      <c r="E8" s="26">
        <v>102</v>
      </c>
      <c r="F8" s="27">
        <v>5</v>
      </c>
    </row>
  </sheetData>
  <mergeCells count="1">
    <mergeCell ref="C7:C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2019-07-27T08:34:11Z</dcterms:created>
  <dcterms:modified xsi:type="dcterms:W3CDTF">2019-11-20T06:28:46Z</dcterms:modified>
</cp:coreProperties>
</file>